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85780AB-5BA6-4073-B3AF-D22BE63704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1" r:id="rId1"/>
    <sheet name="Trazabilidad" sheetId="2" r:id="rId2"/>
    <sheet name="Resumen Cobertu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2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<sst xmlns="http://schemas.openxmlformats.org/spreadsheetml/2006/main" count="204" uniqueCount="149">
  <si>
    <t>MATRIZ DE TRAZABILIDAD — INSTRUCCIONES</t>
  </si>
  <si>
    <t>¿Qué es la Matriz de Trazabilidad?</t>
  </si>
  <si>
    <t>Documenta la relación entre cada requerimiento de la matriz y su implementación visible en el prototipo. Permite demostrar que el prototipo cubre los requerimientos especificados y que ninguno quedó sin representar.</t>
  </si>
  <si>
    <t>¿Cómo llenar esta matriz?</t>
  </si>
  <si>
    <t>1. Copien los IDs de requerimientos desde Matriz_Requerimientos.xlsx (columna ID).</t>
  </si>
  <si>
    <t>2. Para cada requerimiento, identifiquen en qué pantalla(s) del prototipo es visible.</t>
  </si>
  <si>
    <t>3. Indiquen la sección o componente específico dentro de la pantalla (ej: 'Formulario sección 2 - campo Diagnóstico').</t>
  </si>
  <si>
    <t>4. Asignen el estado de cobertura con el menú desplegable.</t>
  </si>
  <si>
    <t>5. Marquen si fue validado con el cliente durante la sesión de revisión del prototipo.</t>
  </si>
  <si>
    <t>6. Agreguen observaciones si el requerimiento fue ajustado o está pendiente.</t>
  </si>
  <si>
    <t>Estados de cobertura:</t>
  </si>
  <si>
    <t xml:space="preserve">  • Cubierto: El prototipo implementa completamente el requerimiento tal como fue especificado.</t>
  </si>
  <si>
    <t xml:space="preserve">  • Parcialmente cubierto: El prototipo muestra parte del requerimiento. Indicar qué falta en Observaciones.</t>
  </si>
  <si>
    <t xml:space="preserve">  • No cubierto: El requerimiento NO está representado en el prototipo (ej: RNF de rendimiento).</t>
  </si>
  <si>
    <t xml:space="preserve">  • No aplica al prototipo: Requerimientos que por naturaleza no son visibles (ej: respaldos automáticos).</t>
  </si>
  <si>
    <t>Consejo:</t>
  </si>
  <si>
    <t>Los RNF técnicos (rendimiento, seguridad, disponibilidad) generalmente NO se cubren con prototipo HTML. Márcalos como 'No aplica al prototipo' y anota cómo se validarán más adelante.</t>
  </si>
  <si>
    <t/>
  </si>
  <si>
    <t>¿Cómo identificar las pantallas? (columna 'ID Pantalla')</t>
  </si>
  <si>
    <t>El ID de pantalla (PNT-01, PNT-02...) es un código que SU EQUIPO inventa para identificar cada pantalla del prototipo. No existe un estándar externo — simplemente asignen un número secuencial a cada pantalla.</t>
  </si>
  <si>
    <t>Pasos para definir los IDs:</t>
  </si>
  <si>
    <t>1.  Abran su prototipo HTML y listen todas las pantallas que tiene.</t>
  </si>
  <si>
    <t>2.  Asignen PNT-01 a la primera, PNT-02 a la segunda, y así sucesivamente.</t>
  </si>
  <si>
    <t>3.  Usen esos mismos IDs en esta matriz, en la Especificación Final y en el README de GitHub.</t>
  </si>
  <si>
    <t>⚠️  Regla crítica: un ID que aparece en esta matriz DEBE existir con ese mismo nombre en el prototipo. Si cambian el nombre de una pantalla en el HTML, actualicen la matriz.</t>
  </si>
  <si>
    <t>Ejemplo de lista de pantallas para un sistema de guías de valoración:</t>
  </si>
  <si>
    <t>ID Pantalla</t>
  </si>
  <si>
    <t>Nombre descriptivo</t>
  </si>
  <si>
    <t>PNT-01</t>
  </si>
  <si>
    <t>Login / Inicio de sesión</t>
  </si>
  <si>
    <t>PNT-02</t>
  </si>
  <si>
    <t>Dashboard — vista general del estudiante</t>
  </si>
  <si>
    <t>PNT-03</t>
  </si>
  <si>
    <t>Captura de guía de valoración</t>
  </si>
  <si>
    <t>PNT-04</t>
  </si>
  <si>
    <t>Historial de guías del paciente</t>
  </si>
  <si>
    <t>PNT-05</t>
  </si>
  <si>
    <t>Panel de revisión del docente</t>
  </si>
  <si>
    <t>PNT-06</t>
  </si>
  <si>
    <t>Administración de plantillas (coordinador)</t>
  </si>
  <si>
    <t>¿Qué nivel de detalle se espera? (columna 'Sección / Componente')</t>
  </si>
  <si>
    <t>Esta columna ubica DENTRO de una pantalla el lugar exacto donde el requerimiento es visible. No basta con nombrar la pantalla — hay que señalar el elemento específico.</t>
  </si>
  <si>
    <t>Piénsenlo así: alguien que nunca ha visto su prototipo debe poder abrir el HTML y encontrar ese elemento en menos de 30 segundos con su descripción.</t>
  </si>
  <si>
    <t>Ejemplos: descripción vaga vs. descripción útil</t>
  </si>
  <si>
    <t>❌  Descripción vaga (no aceptable)</t>
  </si>
  <si>
    <t>✅  Descripción específica (lo que se espera)</t>
  </si>
  <si>
    <t>❌  'Pantalla de captura'</t>
  </si>
  <si>
    <t>✅  'Formulario principal — sección Patrón nutricional, campo Tipo de dieta'</t>
  </si>
  <si>
    <t>❌  'Menú'</t>
  </si>
  <si>
    <t>✅  'Barra de navegación lateral, ítem Mis guías'</t>
  </si>
  <si>
    <t>❌  'Login'</t>
  </si>
  <si>
    <t>✅  'Selector de rol debajo del campo de contraseña'</t>
  </si>
  <si>
    <t>❌  'Pantalla del docente'</t>
  </si>
  <si>
    <t>✅  'Tabla de guías del grupo, columna Estado — botón Ver detalle'</t>
  </si>
  <si>
    <t>❌  'Dashboard'</t>
  </si>
  <si>
    <t>✅  'Tarjeta resumen en esquina superior derecha — contador de guías pendientes'</t>
  </si>
  <si>
    <t>Casos especiales — ¿qué poner cuando el requerimiento no es visible en el prototipo?</t>
  </si>
  <si>
    <t>• No aplica al prototipo: Requerimientos técnicos no visibles en HTML estático: rendimiento, seguridad, respaldos, disponibilidad. Ejemplo: RNF-03 (responder en &lt;3 seg). Dejar vacías las columnas ID Pantalla y Sección/Componente, y explicar en Observaciones cómo se validaría en implementación real.</t>
  </si>
  <si>
    <t>• No cubierto: El requerimiento SÍ debería ser visible en el prototipo pero aún no está implementado. Documentarlo así y no omitirlo — la transparencia es parte de la evaluación.</t>
  </si>
  <si>
    <t>• Parcialmente cubierto: El prototipo muestra parte del requerimiento pero no todo. En Observaciones indicar qué falta exactamente.</t>
  </si>
  <si>
    <t>MATRIZ DE TRAZABILIDAD — REQUERIMIENTOS ↔ PROTOTIPO</t>
  </si>
  <si>
    <t>REQUERIMIENTO</t>
  </si>
  <si>
    <t>UBICACIÓN EN EL PROTOTIPO</t>
  </si>
  <si>
    <t>VALIDACIÓN</t>
  </si>
  <si>
    <t>ID Req.</t>
  </si>
  <si>
    <t>Tipo</t>
  </si>
  <si>
    <t>Descripción
(breve)</t>
  </si>
  <si>
    <t>Prioridad</t>
  </si>
  <si>
    <t>Nombre
Pantalla</t>
  </si>
  <si>
    <t>Sección /
Componente</t>
  </si>
  <si>
    <t>Cobertura</t>
  </si>
  <si>
    <t>Validado
con cliente</t>
  </si>
  <si>
    <t>Observaciones</t>
  </si>
  <si>
    <t>RF-01</t>
  </si>
  <si>
    <t>RF</t>
  </si>
  <si>
    <t>Captura de valoración pediátrica offline y sincronización</t>
  </si>
  <si>
    <t>Must have</t>
  </si>
  <si>
    <t>Captura de paciente</t>
  </si>
  <si>
    <t>Formulario de captura, barra de avance y botón 'Guardar borrador'</t>
  </si>
  <si>
    <t>Cubierto</t>
  </si>
  <si>
    <t>Sí</t>
  </si>
  <si>
    <t>La sincronización se representa conceptualmente mediante el flujo de captura y el indicador de trabajo sin conexión.</t>
  </si>
  <si>
    <t>RF-02</t>
  </si>
  <si>
    <t>Semáforo automático de riesgos</t>
  </si>
  <si>
    <t>Inicio</t>
  </si>
  <si>
    <t>Tarjetas de indicadores de riesgo y bloque 'Semáforo' del flujo principal</t>
  </si>
  <si>
    <t>El nivel de riesgo es visible para seguimiento y clasificación de expedientes.</t>
  </si>
  <si>
    <t>RF-03</t>
  </si>
  <si>
    <t>Resumen ejecutivo con hallazgos y recomendaciones</t>
  </si>
  <si>
    <t>Validación</t>
  </si>
  <si>
    <t>Lista de observaciones y recomendaciones del supervisor para cada expediente</t>
  </si>
  <si>
    <t>El resumen se representa mediante recomendaciones derivadas de la evaluación realizada.</t>
  </si>
  <si>
    <t>RF-04</t>
  </si>
  <si>
    <t>Folio único para seguimiento del paciente</t>
  </si>
  <si>
    <t>Consulta de expedientes</t>
  </si>
  <si>
    <t>Tarjetas de expedientes identificadas con folios EP-2026-0001, EP-2026-0002, etc.</t>
  </si>
  <si>
    <t>El folio permite identificar y consultar pacientes en visitas posteriores.</t>
  </si>
  <si>
    <t>RF-05</t>
  </si>
  <si>
    <t>Gestión de perfiles de usuario</t>
  </si>
  <si>
    <t>Inicio de sesión</t>
  </si>
  <si>
    <t>Formulario de autenticación y acceso diferenciado por perfil institucional</t>
  </si>
  <si>
    <t>El prototipo muestra vistas específicas para alumno y profesor.</t>
  </si>
  <si>
    <t>RF-06</t>
  </si>
  <si>
    <t>Reportes consolidados exportables a Excel</t>
  </si>
  <si>
    <t>Reportes</t>
  </si>
  <si>
    <t>Filtros por período, alumno y riesgo; botón 'Exportar Excel'</t>
  </si>
  <si>
    <t>La exportación es visible mediante la acción de generación de reportes.</t>
  </si>
  <si>
    <t>RF-07</t>
  </si>
  <si>
    <t>Consentimiento informado digital</t>
  </si>
  <si>
    <t>Sección 'Consentimiento informado del tutor', casilla de aceptación, firma digital y botón 'Guardar consentimiento'</t>
  </si>
  <si>
    <t>Se registra la autorización del tutor antes de iniciar la valoración.</t>
  </si>
  <si>
    <t>RNF-01</t>
  </si>
  <si>
    <t>RNF</t>
  </si>
  <si>
    <t>Accesible desde dispositivos móviles sin instalación</t>
  </si>
  <si>
    <t>PNT-01 a PNT-06</t>
  </si>
  <si>
    <t>Todas las pantallas</t>
  </si>
  <si>
    <t>Diseño web responsivo basado en HTML, CSS y JavaScript</t>
  </si>
  <si>
    <t>Parcialmente cubierto</t>
  </si>
  <si>
    <t>Se validaría mediante pruebas en dispositivos Android e iOS.</t>
  </si>
  <si>
    <t>RNF-02</t>
  </si>
  <si>
    <t>Confidencialidad mediante cifrado y autenticación institucional</t>
  </si>
  <si>
    <t>No aplica al prototipo</t>
  </si>
  <si>
    <t>—</t>
  </si>
  <si>
    <t>Se validaría en la implementación mediante cifrado de datos, autenticación institucional y control de acceso por roles.</t>
  </si>
  <si>
    <t>RNF-03</t>
  </si>
  <si>
    <t>Respuesta menor a 3 segundos</t>
  </si>
  <si>
    <t>Should have</t>
  </si>
  <si>
    <t>Se validaría mediante pruebas de rendimiento y carga del sistema.</t>
  </si>
  <si>
    <t>RNF-04</t>
  </si>
  <si>
    <t>Disponibilidad mínima del 95%</t>
  </si>
  <si>
    <t>Se validaría mediante monitoreo de disponibilidad y métricas del servidor en producción.</t>
  </si>
  <si>
    <t>RNF-05</t>
  </si>
  <si>
    <t>Respaldos automáticos cada 24 horas</t>
  </si>
  <si>
    <t>Se validaría mediante configuración y verificación de respaldos automáticos en ambiente real.</t>
  </si>
  <si>
    <t>RNF-06</t>
  </si>
  <si>
    <t>Compatibilidad con navegadores comunes sin plugins</t>
  </si>
  <si>
    <t>Prototipo desarrollado con tecnologías web estándar (HTML5, CSS3 y JavaScript)</t>
  </si>
  <si>
    <t>Compatible con navegadores modernos sin requerir extensiones o plugins adicionales.</t>
  </si>
  <si>
    <t>RESUMEN DE COBERTURA DE REQUERIMIENTOS EN EL PROTOTIPO</t>
  </si>
  <si>
    <t>Este resumen se actualiza automáticamente con los datos de la hoja Trazabilidad.</t>
  </si>
  <si>
    <t>Métrica</t>
  </si>
  <si>
    <t>Valor</t>
  </si>
  <si>
    <t>Total de requerimientos en la matriz</t>
  </si>
  <si>
    <t>Cubiertos completamente</t>
  </si>
  <si>
    <t>Parcialmente cubiertos</t>
  </si>
  <si>
    <t>No cubiertos</t>
  </si>
  <si>
    <t>No aplican al prototipo</t>
  </si>
  <si>
    <t>Validados con cliente (Sí)</t>
  </si>
  <si>
    <t>Pendientes de validación con cliente (No)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</si>
</sst>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</font>
    <font>
      <b/>
      <sz val="16"/>
      <color rgb="FF1F4E79"/>
      <name val="Arial"/>
      <family val="2"/>
    </font>
    <font>
      <b/>
      <sz val="11"/>
      <color rgb="FF1F4E79"/>
      <name val="Arial"/>
      <family val="2"/>
    </font>
    <font>
      <sz val="11"/>
      <color rgb="FF40404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1F4E79"/>
      <name val="Arial"/>
      <family val="2"/>
    </font>
    <font>
      <b/>
      <sz val="11"/>
      <color rgb="FF404040"/>
      <name val="Arial"/>
      <family val="2"/>
    </font>
    <font>
      <sz val="11"/>
      <color rgb="FF833C00"/>
      <name val="Arial"/>
      <family val="2"/>
    </font>
    <font>
      <i/>
      <sz val="10"/>
      <name val="Arial"/>
      <family val="2"/>
    </font>
    <font>
      <i/>
      <sz val="11"/>
      <color rgb="FF37562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8F8F8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FE6E6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2" borderId="0" xfId="0" applyFill="1"/>
    <xf numFmtId="0" fontId="10" fillId="11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4" fillId="0" borderId="0" xfId="0" applyFont="1" applyAlignment="1">
      <alignment wrapText="1"/>
    </xf>
    <xf numFmtId="0" fontId="5" fillId="1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wrapText="1"/>
    </xf>
    <xf numFmtId="0" fontId="1" fillId="0" borderId="0" xfId="0" applyFont="1"/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6" fillId="2" borderId="4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7" fillId="7" borderId="6" xfId="0" applyFont="1" applyFill="1" applyBorder="1" applyAlignment="1">
      <alignment vertical="top" wrapText="1"/>
    </xf>
    <xf numFmtId="0" fontId="7" fillId="6" borderId="7" xfId="0" applyFont="1" applyFill="1" applyBorder="1" applyAlignment="1">
      <alignment vertical="top" wrapText="1"/>
    </xf>
    <xf numFmtId="0" fontId="7" fillId="8" borderId="8" xfId="0" applyFont="1" applyFill="1" applyBorder="1" applyAlignment="1">
      <alignment vertical="top" wrapText="1"/>
    </xf>
    <xf numFmtId="0" fontId="7" fillId="8" borderId="9" xfId="0" applyFont="1" applyFill="1" applyBorder="1" applyAlignment="1">
      <alignment vertical="top" wrapText="1"/>
    </xf>
    <xf numFmtId="0" fontId="7" fillId="6" borderId="8" xfId="0" applyFont="1" applyFill="1" applyBorder="1" applyAlignment="1">
      <alignment vertical="top" wrapText="1"/>
    </xf>
    <xf numFmtId="0" fontId="7" fillId="6" borderId="9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workbookViewId="0"/>
  </sheetViews>
  <sheetFormatPr baseColWidth="10" defaultColWidth="8.88671875" defaultRowHeight="14.4" x14ac:dyDescent="0.3"/>
  <cols>
    <col min="1" max="2" width="60" customWidth="1"/>
  </cols>
  <sheetData>
    <row r="1" spans="1:7" ht="24" customHeight="1" x14ac:dyDescent="0.4">
      <c r="A1" s="23" t="s">
        <v>0</v>
      </c>
      <c r="B1" s="24"/>
      <c r="C1" s="24"/>
      <c r="D1" s="24"/>
      <c r="E1" s="24"/>
      <c r="F1" s="24"/>
      <c r="G1" s="24"/>
    </row>
    <row r="3" spans="1:7" ht="24" customHeight="1" x14ac:dyDescent="0.3">
      <c r="A3" s="1" t="s">
        <v>1</v>
      </c>
    </row>
    <row r="4" spans="1:7" ht="16.05" customHeight="1" x14ac:dyDescent="0.3">
      <c r="A4" s="2" t="s">
        <v>2</v>
      </c>
    </row>
    <row r="6" spans="1:7" ht="24" customHeight="1" x14ac:dyDescent="0.3">
      <c r="A6" s="1" t="s">
        <v>3</v>
      </c>
    </row>
    <row r="7" spans="1:7" ht="16.05" customHeight="1" x14ac:dyDescent="0.3">
      <c r="A7" s="2" t="s">
        <v>4</v>
      </c>
    </row>
    <row r="8" spans="1:7" ht="16.05" customHeight="1" x14ac:dyDescent="0.3">
      <c r="A8" s="2" t="s">
        <v>5</v>
      </c>
    </row>
    <row r="9" spans="1:7" ht="16.05" customHeight="1" x14ac:dyDescent="0.3">
      <c r="A9" s="2" t="s">
        <v>6</v>
      </c>
    </row>
    <row r="10" spans="1:7" ht="16.05" customHeight="1" x14ac:dyDescent="0.3">
      <c r="A10" s="2" t="s">
        <v>7</v>
      </c>
    </row>
    <row r="11" spans="1:7" ht="16.05" customHeight="1" x14ac:dyDescent="0.3">
      <c r="A11" s="2" t="s">
        <v>8</v>
      </c>
    </row>
    <row r="12" spans="1:7" ht="16.05" customHeight="1" x14ac:dyDescent="0.3">
      <c r="A12" s="2" t="s">
        <v>9</v>
      </c>
    </row>
    <row r="14" spans="1:7" ht="24" customHeight="1" x14ac:dyDescent="0.3">
      <c r="A14" s="1" t="s">
        <v>10</v>
      </c>
    </row>
    <row r="15" spans="1:7" ht="16.05" customHeight="1" x14ac:dyDescent="0.3">
      <c r="A15" s="2" t="s">
        <v>11</v>
      </c>
    </row>
    <row r="16" spans="1:7" ht="16.05" customHeight="1" x14ac:dyDescent="0.3">
      <c r="A16" s="2" t="s">
        <v>12</v>
      </c>
    </row>
    <row r="17" spans="1:1" ht="16.05" customHeight="1" x14ac:dyDescent="0.3">
      <c r="A17" s="2" t="s">
        <v>13</v>
      </c>
    </row>
    <row r="18" spans="1:1" ht="16.05" customHeight="1" x14ac:dyDescent="0.3">
      <c r="A18" s="2" t="s">
        <v>14</v>
      </c>
    </row>
    <row r="20" spans="1:1" ht="24" customHeight="1" x14ac:dyDescent="0.3">
      <c r="A20" s="1" t="s">
        <v>15</v>
      </c>
    </row>
    <row r="21" spans="1:1" ht="16.05" customHeight="1" x14ac:dyDescent="0.3">
      <c r="A21" s="2" t="s">
        <v>16</v>
      </c>
    </row>
    <row r="23" spans="1:1" ht="4.8" customHeight="1" x14ac:dyDescent="0.3">
      <c r="A23" s="10" t="s">
        <v>17</v>
      </c>
    </row>
    <row r="24" spans="1:1" ht="17.55" customHeight="1" x14ac:dyDescent="0.3">
      <c r="A24" s="11" t="s">
        <v>18</v>
      </c>
    </row>
    <row r="25" spans="1:1" ht="14.4" customHeight="1" x14ac:dyDescent="0.3">
      <c r="A25" s="2" t="s">
        <v>19</v>
      </c>
    </row>
    <row r="26" spans="1:1" ht="14.4" customHeight="1" x14ac:dyDescent="0.3">
      <c r="A26" s="12" t="s">
        <v>20</v>
      </c>
    </row>
    <row r="27" spans="1:1" ht="14.4" customHeight="1" x14ac:dyDescent="0.3">
      <c r="A27" s="2" t="s">
        <v>21</v>
      </c>
    </row>
    <row r="28" spans="1:1" ht="14.4" customHeight="1" x14ac:dyDescent="0.3">
      <c r="A28" s="2" t="s">
        <v>22</v>
      </c>
    </row>
    <row r="29" spans="1:1" ht="14.4" customHeight="1" x14ac:dyDescent="0.3">
      <c r="A29" s="2" t="s">
        <v>23</v>
      </c>
    </row>
    <row r="30" spans="1:1" ht="22.35" customHeight="1" x14ac:dyDescent="0.3">
      <c r="A30" s="13" t="s">
        <v>24</v>
      </c>
    </row>
    <row r="32" spans="1:1" ht="14.4" customHeight="1" x14ac:dyDescent="0.3">
      <c r="A32" s="12" t="s">
        <v>25</v>
      </c>
    </row>
    <row r="33" spans="1:2" ht="16.05" customHeight="1" x14ac:dyDescent="0.3">
      <c r="A33" s="14" t="s">
        <v>26</v>
      </c>
      <c r="B33" s="14" t="s">
        <v>27</v>
      </c>
    </row>
    <row r="34" spans="1:2" ht="28.8" customHeight="1" x14ac:dyDescent="0.3">
      <c r="A34" s="15" t="s">
        <v>28</v>
      </c>
      <c r="B34" s="15" t="s">
        <v>29</v>
      </c>
    </row>
    <row r="35" spans="1:2" ht="28.8" customHeight="1" x14ac:dyDescent="0.3">
      <c r="A35" s="16" t="s">
        <v>30</v>
      </c>
      <c r="B35" s="16" t="s">
        <v>31</v>
      </c>
    </row>
    <row r="36" spans="1:2" ht="28.8" customHeight="1" x14ac:dyDescent="0.3">
      <c r="A36" s="15" t="s">
        <v>32</v>
      </c>
      <c r="B36" s="15" t="s">
        <v>33</v>
      </c>
    </row>
    <row r="37" spans="1:2" ht="28.8" customHeight="1" x14ac:dyDescent="0.3">
      <c r="A37" s="16" t="s">
        <v>34</v>
      </c>
      <c r="B37" s="16" t="s">
        <v>35</v>
      </c>
    </row>
    <row r="38" spans="1:2" ht="28.8" customHeight="1" x14ac:dyDescent="0.3">
      <c r="A38" s="15" t="s">
        <v>36</v>
      </c>
      <c r="B38" s="15" t="s">
        <v>37</v>
      </c>
    </row>
    <row r="39" spans="1:2" ht="28.8" customHeight="1" x14ac:dyDescent="0.3">
      <c r="A39" s="16" t="s">
        <v>38</v>
      </c>
      <c r="B39" s="16" t="s">
        <v>39</v>
      </c>
    </row>
    <row r="42" spans="1:2" ht="4.8" customHeight="1" x14ac:dyDescent="0.3">
      <c r="A42" s="10" t="s">
        <v>17</v>
      </c>
    </row>
    <row r="43" spans="1:2" ht="17.55" customHeight="1" x14ac:dyDescent="0.3">
      <c r="A43" s="11" t="s">
        <v>40</v>
      </c>
    </row>
    <row r="44" spans="1:2" ht="14.4" customHeight="1" x14ac:dyDescent="0.3">
      <c r="A44" s="2" t="s">
        <v>41</v>
      </c>
    </row>
    <row r="45" spans="1:2" ht="22.35" customHeight="1" x14ac:dyDescent="0.3">
      <c r="A45" s="17" t="s">
        <v>42</v>
      </c>
    </row>
    <row r="47" spans="1:2" ht="14.4" customHeight="1" x14ac:dyDescent="0.3">
      <c r="A47" s="12" t="s">
        <v>43</v>
      </c>
    </row>
    <row r="48" spans="1:2" ht="16.05" customHeight="1" x14ac:dyDescent="0.3">
      <c r="A48" s="18" t="s">
        <v>44</v>
      </c>
      <c r="B48" s="19" t="s">
        <v>45</v>
      </c>
    </row>
    <row r="49" spans="1:2" ht="28.8" customHeight="1" x14ac:dyDescent="0.3">
      <c r="A49" s="20" t="s">
        <v>46</v>
      </c>
      <c r="B49" s="21" t="s">
        <v>47</v>
      </c>
    </row>
    <row r="50" spans="1:2" ht="28.8" customHeight="1" x14ac:dyDescent="0.3">
      <c r="A50" s="20" t="s">
        <v>48</v>
      </c>
      <c r="B50" s="21" t="s">
        <v>49</v>
      </c>
    </row>
    <row r="51" spans="1:2" ht="28.8" customHeight="1" x14ac:dyDescent="0.3">
      <c r="A51" s="20" t="s">
        <v>50</v>
      </c>
      <c r="B51" s="21" t="s">
        <v>51</v>
      </c>
    </row>
    <row r="52" spans="1:2" ht="28.8" customHeight="1" x14ac:dyDescent="0.3">
      <c r="A52" s="20" t="s">
        <v>52</v>
      </c>
      <c r="B52" s="21" t="s">
        <v>53</v>
      </c>
    </row>
    <row r="53" spans="1:2" ht="28.8" customHeight="1" x14ac:dyDescent="0.3">
      <c r="A53" s="20" t="s">
        <v>54</v>
      </c>
      <c r="B53" s="21" t="s">
        <v>55</v>
      </c>
    </row>
    <row r="55" spans="1:2" ht="14.4" customHeight="1" x14ac:dyDescent="0.3">
      <c r="A55" s="12" t="s">
        <v>56</v>
      </c>
    </row>
    <row r="56" spans="1:2" ht="33.6" customHeight="1" x14ac:dyDescent="0.3">
      <c r="A56" s="22" t="s">
        <v>57</v>
      </c>
    </row>
    <row r="57" spans="1:2" ht="33.6" customHeight="1" x14ac:dyDescent="0.3">
      <c r="A57" s="22" t="s">
        <v>58</v>
      </c>
    </row>
    <row r="58" spans="1:2" ht="33.6" customHeight="1" x14ac:dyDescent="0.3">
      <c r="A58" s="22" t="s">
        <v>59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zoomScale="53" zoomScaleNormal="91" workbookViewId="0">
      <selection activeCell="M18" sqref="M18"/>
    </sheetView>
  </sheetViews>
  <sheetFormatPr baseColWidth="10" defaultColWidth="8.88671875" defaultRowHeight="14.4" x14ac:dyDescent="0.3"/>
  <cols>
    <col min="1" max="1" width="9" customWidth="1"/>
    <col min="2" max="2" width="8" customWidth="1"/>
    <col min="3" max="3" width="32" customWidth="1"/>
    <col min="4" max="4" width="13" customWidth="1"/>
    <col min="5" max="5" width="17.109375" customWidth="1"/>
    <col min="6" max="6" width="22" customWidth="1"/>
    <col min="7" max="7" width="36" customWidth="1"/>
    <col min="8" max="8" width="20" customWidth="1"/>
    <col min="9" max="9" width="16" customWidth="1"/>
    <col min="10" max="10" width="36" customWidth="1"/>
  </cols>
  <sheetData>
    <row r="1" spans="1:10" ht="22.35" customHeight="1" x14ac:dyDescent="0.3">
      <c r="A1" s="25" t="s">
        <v>60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7.55" customHeight="1" x14ac:dyDescent="0.3">
      <c r="A2" s="30" t="s">
        <v>61</v>
      </c>
      <c r="B2" s="27"/>
      <c r="C2" s="27"/>
      <c r="D2" s="28"/>
      <c r="E2" s="26" t="s">
        <v>62</v>
      </c>
      <c r="F2" s="27"/>
      <c r="G2" s="27"/>
      <c r="H2" s="28"/>
      <c r="I2" s="29" t="s">
        <v>63</v>
      </c>
      <c r="J2" s="28"/>
    </row>
    <row r="3" spans="1:10" ht="31.8" customHeight="1" x14ac:dyDescent="0.3">
      <c r="A3" s="33" t="s">
        <v>64</v>
      </c>
      <c r="B3" s="33" t="s">
        <v>65</v>
      </c>
      <c r="C3" s="33" t="s">
        <v>66</v>
      </c>
      <c r="D3" s="33" t="s">
        <v>67</v>
      </c>
      <c r="E3" s="33" t="s">
        <v>26</v>
      </c>
      <c r="F3" s="33" t="s">
        <v>68</v>
      </c>
      <c r="G3" s="33" t="s">
        <v>69</v>
      </c>
      <c r="H3" s="33" t="s">
        <v>70</v>
      </c>
      <c r="I3" s="33" t="s">
        <v>71</v>
      </c>
      <c r="J3" s="33" t="s">
        <v>72</v>
      </c>
    </row>
    <row r="4" spans="1:10" ht="33.6" customHeight="1" x14ac:dyDescent="0.3">
      <c r="A4" s="34" t="s">
        <v>73</v>
      </c>
      <c r="B4" s="35" t="s">
        <v>74</v>
      </c>
      <c r="C4" s="35" t="s">
        <v>75</v>
      </c>
      <c r="D4" s="35" t="s">
        <v>76</v>
      </c>
      <c r="E4" s="35" t="s">
        <v>32</v>
      </c>
      <c r="F4" s="35" t="s">
        <v>77</v>
      </c>
      <c r="G4" s="35" t="s">
        <v>78</v>
      </c>
      <c r="H4" s="36" t="s">
        <v>79</v>
      </c>
      <c r="I4" s="35" t="s">
        <v>80</v>
      </c>
      <c r="J4" s="37" t="s">
        <v>81</v>
      </c>
    </row>
    <row r="5" spans="1:10" ht="33.6" customHeight="1" x14ac:dyDescent="0.3">
      <c r="A5" s="38" t="s">
        <v>82</v>
      </c>
      <c r="B5" s="5" t="s">
        <v>74</v>
      </c>
      <c r="C5" s="5" t="s">
        <v>83</v>
      </c>
      <c r="D5" s="5" t="s">
        <v>76</v>
      </c>
      <c r="E5" s="5" t="s">
        <v>30</v>
      </c>
      <c r="F5" s="5" t="s">
        <v>84</v>
      </c>
      <c r="G5" s="5" t="s">
        <v>85</v>
      </c>
      <c r="H5" s="4" t="s">
        <v>79</v>
      </c>
      <c r="I5" s="5" t="s">
        <v>80</v>
      </c>
      <c r="J5" s="39" t="s">
        <v>86</v>
      </c>
    </row>
    <row r="6" spans="1:10" ht="33.6" customHeight="1" x14ac:dyDescent="0.3">
      <c r="A6" s="40" t="s">
        <v>87</v>
      </c>
      <c r="B6" s="3" t="s">
        <v>74</v>
      </c>
      <c r="C6" s="3" t="s">
        <v>88</v>
      </c>
      <c r="D6" s="3" t="s">
        <v>76</v>
      </c>
      <c r="E6" s="3" t="s">
        <v>36</v>
      </c>
      <c r="F6" s="3" t="s">
        <v>89</v>
      </c>
      <c r="G6" s="3" t="s">
        <v>90</v>
      </c>
      <c r="H6" s="4" t="s">
        <v>79</v>
      </c>
      <c r="I6" s="3" t="s">
        <v>80</v>
      </c>
      <c r="J6" s="41" t="s">
        <v>91</v>
      </c>
    </row>
    <row r="7" spans="1:10" ht="33.6" customHeight="1" x14ac:dyDescent="0.3">
      <c r="A7" s="38" t="s">
        <v>92</v>
      </c>
      <c r="B7" s="5" t="s">
        <v>74</v>
      </c>
      <c r="C7" s="5" t="s">
        <v>93</v>
      </c>
      <c r="D7" s="5" t="s">
        <v>76</v>
      </c>
      <c r="E7" s="5" t="s">
        <v>34</v>
      </c>
      <c r="F7" s="5" t="s">
        <v>94</v>
      </c>
      <c r="G7" s="5" t="s">
        <v>95</v>
      </c>
      <c r="H7" s="4" t="s">
        <v>79</v>
      </c>
      <c r="I7" s="5" t="s">
        <v>80</v>
      </c>
      <c r="J7" s="39" t="s">
        <v>96</v>
      </c>
    </row>
    <row r="8" spans="1:10" ht="33.6" customHeight="1" x14ac:dyDescent="0.3">
      <c r="A8" s="40" t="s">
        <v>97</v>
      </c>
      <c r="B8" s="3" t="s">
        <v>74</v>
      </c>
      <c r="C8" s="3" t="s">
        <v>98</v>
      </c>
      <c r="D8" s="3" t="s">
        <v>76</v>
      </c>
      <c r="E8" s="3" t="s">
        <v>28</v>
      </c>
      <c r="F8" s="3" t="s">
        <v>99</v>
      </c>
      <c r="G8" s="3" t="s">
        <v>100</v>
      </c>
      <c r="H8" s="4" t="s">
        <v>79</v>
      </c>
      <c r="I8" s="3" t="s">
        <v>80</v>
      </c>
      <c r="J8" s="41" t="s">
        <v>101</v>
      </c>
    </row>
    <row r="9" spans="1:10" ht="33.6" customHeight="1" x14ac:dyDescent="0.3">
      <c r="A9" s="38" t="s">
        <v>102</v>
      </c>
      <c r="B9" s="5" t="s">
        <v>74</v>
      </c>
      <c r="C9" s="5" t="s">
        <v>103</v>
      </c>
      <c r="D9" s="5" t="s">
        <v>76</v>
      </c>
      <c r="E9" s="5" t="s">
        <v>38</v>
      </c>
      <c r="F9" s="5" t="s">
        <v>104</v>
      </c>
      <c r="G9" s="5" t="s">
        <v>105</v>
      </c>
      <c r="H9" s="6" t="s">
        <v>79</v>
      </c>
      <c r="I9" s="5" t="s">
        <v>80</v>
      </c>
      <c r="J9" s="39" t="s">
        <v>106</v>
      </c>
    </row>
    <row r="10" spans="1:10" ht="45" customHeight="1" x14ac:dyDescent="0.3">
      <c r="A10" s="40" t="s">
        <v>107</v>
      </c>
      <c r="B10" s="3" t="s">
        <v>74</v>
      </c>
      <c r="C10" s="3" t="s">
        <v>108</v>
      </c>
      <c r="D10" s="3" t="s">
        <v>76</v>
      </c>
      <c r="E10" s="3" t="s">
        <v>32</v>
      </c>
      <c r="F10" s="3" t="s">
        <v>77</v>
      </c>
      <c r="G10" s="3" t="s">
        <v>109</v>
      </c>
      <c r="H10" s="4" t="s">
        <v>79</v>
      </c>
      <c r="I10" s="3" t="s">
        <v>80</v>
      </c>
      <c r="J10" s="41" t="s">
        <v>110</v>
      </c>
    </row>
    <row r="11" spans="1:10" ht="33.6" customHeight="1" x14ac:dyDescent="0.3">
      <c r="A11" s="38" t="s">
        <v>111</v>
      </c>
      <c r="B11" s="5" t="s">
        <v>112</v>
      </c>
      <c r="C11" s="5" t="s">
        <v>113</v>
      </c>
      <c r="D11" s="5" t="s">
        <v>76</v>
      </c>
      <c r="E11" s="5" t="s">
        <v>114</v>
      </c>
      <c r="F11" s="5" t="s">
        <v>115</v>
      </c>
      <c r="G11" s="5" t="s">
        <v>116</v>
      </c>
      <c r="H11" s="7" t="s">
        <v>117</v>
      </c>
      <c r="I11" s="5" t="s">
        <v>80</v>
      </c>
      <c r="J11" s="39" t="s">
        <v>118</v>
      </c>
    </row>
    <row r="12" spans="1:10" ht="33.6" customHeight="1" x14ac:dyDescent="0.3">
      <c r="A12" s="40" t="s">
        <v>119</v>
      </c>
      <c r="B12" s="3" t="s">
        <v>112</v>
      </c>
      <c r="C12" s="3" t="s">
        <v>120</v>
      </c>
      <c r="D12" s="3" t="s">
        <v>76</v>
      </c>
      <c r="E12" s="3"/>
      <c r="F12" s="3"/>
      <c r="G12" s="3"/>
      <c r="H12" s="4" t="s">
        <v>121</v>
      </c>
      <c r="I12" s="3" t="s">
        <v>122</v>
      </c>
      <c r="J12" s="41" t="s">
        <v>123</v>
      </c>
    </row>
    <row r="13" spans="1:10" ht="33.6" customHeight="1" x14ac:dyDescent="0.3">
      <c r="A13" s="38" t="s">
        <v>124</v>
      </c>
      <c r="B13" s="5" t="s">
        <v>112</v>
      </c>
      <c r="C13" s="5" t="s">
        <v>125</v>
      </c>
      <c r="D13" s="5" t="s">
        <v>126</v>
      </c>
      <c r="E13" s="5"/>
      <c r="F13" s="5"/>
      <c r="G13" s="5"/>
      <c r="H13" s="6" t="s">
        <v>121</v>
      </c>
      <c r="I13" s="5" t="s">
        <v>122</v>
      </c>
      <c r="J13" s="39" t="s">
        <v>127</v>
      </c>
    </row>
    <row r="14" spans="1:10" ht="33.6" customHeight="1" x14ac:dyDescent="0.3">
      <c r="A14" s="40" t="s">
        <v>128</v>
      </c>
      <c r="B14" s="3" t="s">
        <v>112</v>
      </c>
      <c r="C14" s="3" t="s">
        <v>129</v>
      </c>
      <c r="D14" s="3" t="s">
        <v>126</v>
      </c>
      <c r="E14" s="3"/>
      <c r="F14" s="3"/>
      <c r="G14" s="3"/>
      <c r="H14" s="7" t="s">
        <v>121</v>
      </c>
      <c r="I14" s="3" t="s">
        <v>122</v>
      </c>
      <c r="J14" s="41" t="s">
        <v>130</v>
      </c>
    </row>
    <row r="15" spans="1:10" ht="33.6" customHeight="1" x14ac:dyDescent="0.3">
      <c r="A15" s="38" t="s">
        <v>131</v>
      </c>
      <c r="B15" s="5" t="s">
        <v>112</v>
      </c>
      <c r="C15" s="5" t="s">
        <v>132</v>
      </c>
      <c r="D15" s="5" t="s">
        <v>126</v>
      </c>
      <c r="E15" s="5"/>
      <c r="F15" s="5"/>
      <c r="G15" s="5"/>
      <c r="H15" s="7" t="s">
        <v>121</v>
      </c>
      <c r="I15" s="5" t="s">
        <v>122</v>
      </c>
      <c r="J15" s="39" t="s">
        <v>133</v>
      </c>
    </row>
    <row r="16" spans="1:10" ht="43.2" x14ac:dyDescent="0.3">
      <c r="A16" s="42" t="s">
        <v>134</v>
      </c>
      <c r="B16" s="43" t="s">
        <v>112</v>
      </c>
      <c r="C16" s="43" t="s">
        <v>135</v>
      </c>
      <c r="D16" s="43" t="s">
        <v>76</v>
      </c>
      <c r="E16" s="43" t="s">
        <v>114</v>
      </c>
      <c r="F16" s="43" t="s">
        <v>115</v>
      </c>
      <c r="G16" s="43" t="s">
        <v>136</v>
      </c>
      <c r="H16" s="43" t="s">
        <v>117</v>
      </c>
      <c r="I16" s="43" t="s">
        <v>80</v>
      </c>
      <c r="J16" s="44" t="s">
        <v>137</v>
      </c>
    </row>
  </sheetData>
  <mergeCells count="4">
    <mergeCell ref="A1:J1"/>
    <mergeCell ref="E2:H2"/>
    <mergeCell ref="I2:J2"/>
    <mergeCell ref="A2:D2"/>
  </mergeCells>
  <dataValidations count="2">
    <dataValidation type="list" allowBlank="1" sqref="H4:H200" xr:uid="{00000000-0002-0000-0100-000000000000}">
      <formula1>"Cubierto,Parcialmente cubierto,No cubierto,No aplica al prototipo"</formula1>
    </dataValidation>
    <dataValidation type="list" allowBlank="1" sqref="I4:I200" xr:uid="{00000000-0002-0000-0100-000001000000}">
      <formula1>"Sí,No,—"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B9" sqref="B9"/>
    </sheetView>
  </sheetViews>
  <sheetFormatPr baseColWidth="10" defaultColWidth="8.88671875" defaultRowHeight="14.4" x14ac:dyDescent="0.3"/>
  <cols>
    <col min="1" max="1" width="45" customWidth="1"/>
    <col min="2" max="2" width="20" customWidth="1"/>
  </cols>
  <sheetData>
    <row r="1" spans="1:4" ht="22.35" customHeight="1" x14ac:dyDescent="0.3">
      <c r="A1" s="31" t="s">
        <v>138</v>
      </c>
      <c r="B1" s="24"/>
      <c r="C1" s="24"/>
      <c r="D1" s="24"/>
    </row>
    <row r="3" spans="1:4" x14ac:dyDescent="0.3">
      <c r="A3" s="32" t="s">
        <v>139</v>
      </c>
      <c r="B3" s="24"/>
      <c r="C3" s="24"/>
      <c r="D3" s="24"/>
    </row>
    <row r="5" spans="1:4" x14ac:dyDescent="0.3">
      <c r="A5" s="8" t="s">
        <v>140</v>
      </c>
      <c r="B5" s="8" t="s">
        <v>141</v>
      </c>
    </row>
    <row r="6" spans="1:4" x14ac:dyDescent="0.3">
      <c r="A6" s="9" t="s">
        <v>142</v>
      </c>
      <c r="B6" s="9">
        <f>COUNTA(Trazabilidad!A4:A100)</f>
        <v>13</v>
      </c>
    </row>
    <row r="7" spans="1:4" x14ac:dyDescent="0.3">
      <c r="A7" s="9" t="s">
        <v>143</v>
      </c>
      <c r="B7" s="9">
        <f>COUNTIF(Trazabilidad!H4:H100,"Cubierto")</f>
        <v>7</v>
      </c>
    </row>
    <row r="8" spans="1:4" x14ac:dyDescent="0.3">
      <c r="A8" s="9" t="s">
        <v>144</v>
      </c>
      <c r="B8" s="9">
        <f>COUNTIF(Trazabilidad!H4:H100,"Parcialmente cubierto")</f>
        <v>2</v>
      </c>
    </row>
    <row r="9" spans="1:4" x14ac:dyDescent="0.3">
      <c r="A9" s="9" t="s">
        <v>145</v>
      </c>
      <c r="B9" s="9">
        <f>COUNTIF(Trazabilidad!H4:H100,"No cubierto")</f>
        <v>0</v>
      </c>
    </row>
    <row r="10" spans="1:4" x14ac:dyDescent="0.3">
      <c r="A10" s="9" t="s">
        <v>146</v>
      </c>
      <c r="B10" s="9">
        <f>COUNTIF(Trazabilidad!H4:H100,"No aplica al prototipo")</f>
        <v>4</v>
      </c>
    </row>
    <row r="12" spans="1:4" x14ac:dyDescent="0.3">
      <c r="A12" s="9" t="s">
        <v>147</v>
      </c>
      <c r="B12" s="9">
        <f>COUNTIF(Trazabilidad!I4:I100,"Sí")</f>
        <v>9</v>
      </c>
    </row>
    <row r="13" spans="1:4" x14ac:dyDescent="0.3">
      <c r="A13" s="9" t="s">
        <v>148</v>
      </c>
      <c r="B13" s="9">
        <f>COUNTIF(Trazabilidad!I4:I100,"No")</f>
        <v>0</v>
      </c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Trazabilidad</vt:lpstr>
      <vt:lpstr>Resumen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 centeno</dc:creator>
  <cp:lastModifiedBy>VALERIA ALEJANDRA CENTENO SOLORZANO</cp:lastModifiedBy>
  <dcterms:created xsi:type="dcterms:W3CDTF">2026-06-17T20:46:39Z</dcterms:created>
  <dcterms:modified xsi:type="dcterms:W3CDTF">2026-06-17T20:46:39Z</dcterms:modified>
</cp:coreProperties>
</file>