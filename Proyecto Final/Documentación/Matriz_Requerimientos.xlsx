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uario\Documents\Dana\4° Semestre\Carlos\Avance segundo Parcial_Identificación y análisis de requerimientos\"/>
    </mc:Choice>
  </mc:AlternateContent>
  <bookViews>
    <workbookView xWindow="0" yWindow="0" windowWidth="20490" windowHeight="7620"/>
  </bookViews>
  <sheets>
    <sheet name="RF - Funcionales" sheetId="2" r:id="rId1"/>
    <sheet name="RNF - No Funcionales" sheetId="3" r:id="rId2"/>
    <sheet name="Resumen" sheetId="4" r:id="rId3"/>
  </sheets>
  <definedNames>
    <definedName name="_xlnm._FilterDatabase" localSheetId="0" hidden="1">'RF - Funcionales'!$A$1:$H$100</definedName>
    <definedName name="_xlnm._FilterDatabase" localSheetId="1" hidden="1">'RNF - No Funcionales'!$A$1:$I$101</definedName>
  </definedNames>
  <calcPr calcId="162913"/>
</workbook>
</file>

<file path=xl/calcChain.xml><?xml version="1.0" encoding="utf-8"?>
<calcChain xmlns="http://schemas.openxmlformats.org/spreadsheetml/2006/main">
  <c r="B11" i="4" l="1"/>
  <c r="B6" i="4"/>
  <c r="B7" i="4" l="1"/>
  <c r="B21" i="4" l="1"/>
  <c r="B20" i="4"/>
  <c r="B19" i="4"/>
  <c r="B18" i="4"/>
  <c r="B17" i="4"/>
  <c r="B14" i="4"/>
  <c r="B13" i="4"/>
  <c r="B12" i="4"/>
  <c r="B8" i="4" l="1"/>
</calcChain>
</file>

<file path=xl/sharedStrings.xml><?xml version="1.0" encoding="utf-8"?>
<sst xmlns="http://schemas.openxmlformats.org/spreadsheetml/2006/main" count="153" uniqueCount="97">
  <si>
    <t>ID</t>
  </si>
  <si>
    <t>Descripción</t>
  </si>
  <si>
    <t>Criterio de Aceptación</t>
  </si>
  <si>
    <t>Prioridad</t>
  </si>
  <si>
    <t>Fuente</t>
  </si>
  <si>
    <t>Estado</t>
  </si>
  <si>
    <t>Versión</t>
  </si>
  <si>
    <t>Notas</t>
  </si>
  <si>
    <t>RF-01</t>
  </si>
  <si>
    <t>Must have</t>
  </si>
  <si>
    <t>Estudiantes (Entrevista 1)</t>
  </si>
  <si>
    <t>Validado internamente</t>
  </si>
  <si>
    <t>1.0</t>
  </si>
  <si>
    <t>Categoría</t>
  </si>
  <si>
    <t>RNF-01</t>
  </si>
  <si>
    <t>Usabilidad</t>
  </si>
  <si>
    <t>RESUMEN DE REQUERIMIENTOS</t>
  </si>
  <si>
    <t>Esta hoja se actualizará automáticamente conforme agreguen requerimientos en las otras pestañas.</t>
  </si>
  <si>
    <t>Métrica</t>
  </si>
  <si>
    <t>Valor</t>
  </si>
  <si>
    <t>Total de Requerimientos Funcionales</t>
  </si>
  <si>
    <t>Total de Requerimientos No Funcionales</t>
  </si>
  <si>
    <t>Total General</t>
  </si>
  <si>
    <t>Requerimientos por Prioridad</t>
  </si>
  <si>
    <t>Must have (RF + RNF)</t>
  </si>
  <si>
    <t>Should have (RF + RNF)</t>
  </si>
  <si>
    <t>Could have (RF + RNF)</t>
  </si>
  <si>
    <t>Won't have (RF + RNF)</t>
  </si>
  <si>
    <t>Requerimientos por Estado</t>
  </si>
  <si>
    <t>Propuesto</t>
  </si>
  <si>
    <t>En revisión</t>
  </si>
  <si>
    <t>Validado con cliente</t>
  </si>
  <si>
    <t>Rechazado</t>
  </si>
  <si>
    <t>Dra. Mariely (Entrevista 1)</t>
  </si>
  <si>
    <t>RF-02</t>
  </si>
  <si>
    <t>RF-03</t>
  </si>
  <si>
    <t>RF-04</t>
  </si>
  <si>
    <t>RF-05</t>
  </si>
  <si>
    <t>RF-06</t>
  </si>
  <si>
    <t>RF-07</t>
  </si>
  <si>
    <t>Folio debe ser alfanumérico y no repetible.</t>
  </si>
  <si>
    <t>Roles basados en autenticación institucional.</t>
  </si>
  <si>
    <t>El sistema debe permitir al profesor generar reportes consolidados con filtros por período, zona geográfica, alumno y nivel de riesgo, exportables a Excel sin pérdida de estructura.</t>
  </si>
  <si>
    <t>El profesor selecciona filtros y obtiene un reporte exportable con datos íntegros.</t>
  </si>
  <si>
    <t>Requiere módulo de reportes.</t>
  </si>
  <si>
    <t>El sistema debe incluir un módulo de consentimiento informado digital, mediante firma electrónica táctil o check de aceptación con registro de fecha, hora y nombre del tutor.</t>
  </si>
  <si>
    <t>Cada expediente pediátrico tiene asociado un consentimiento digital válido.</t>
  </si>
  <si>
    <t>Cumplir normativa de confidencialidad.</t>
  </si>
  <si>
    <t>RNF-02</t>
  </si>
  <si>
    <t>RNF-03</t>
  </si>
  <si>
    <t>RNF-04</t>
  </si>
  <si>
    <t>RNF-05</t>
  </si>
  <si>
    <t>RNF-06</t>
  </si>
  <si>
    <t>Estudiantes (Entrevista)</t>
  </si>
  <si>
    <t>Diseño responsive obligatorio.</t>
  </si>
  <si>
    <t>Seguridad</t>
  </si>
  <si>
    <t>El sistema debe garantizar la confidencialidad de los datos de pacientes menores de edad mediante encriptación y autenticación institucional.</t>
  </si>
  <si>
    <t>Los datos sensibles se almacenan cifrados en la base de datos. Solo usuarios autenticados pueden acceder. Se genera log de auditoría de accesos.</t>
  </si>
  <si>
    <t>Dra. Mariely / Normativa UAA</t>
  </si>
  <si>
    <t>Cumplir con lineamientos de protección de datos y consentimiento informado digital.</t>
  </si>
  <si>
    <t>Rendimiento</t>
  </si>
  <si>
    <t>El sistema debe responder a las interacciones del usuario en menos de 3 segundos en condiciones normales de uso.</t>
  </si>
  <si>
    <t>El tiempo entre que el usuario guarda, busca o exporta información no debe exceder 3 segundos con hasta 40 usuarios concurrentes.</t>
  </si>
  <si>
    <t>Should have</t>
  </si>
  <si>
    <t>Dra. Mariely (Entrevista)</t>
  </si>
  <si>
    <t>Considerar carga simultánea de estudiantes en prácticas.</t>
  </si>
  <si>
    <t>Disponibilidad</t>
  </si>
  <si>
    <t>El sistema debe estar disponible durante los períodos de prácticas clínicas, con un uptime mínimo del 95%.</t>
  </si>
  <si>
    <t>El sistema se mantiene activo 24/7 durante semanas de prácticas, con mantenimiento programado fuera de esos períodos.</t>
  </si>
  <si>
    <t>Coordinar mantenimiento con calendario académico.</t>
  </si>
  <si>
    <t>Confiabilidad</t>
  </si>
  <si>
    <t>El sistema debe realizar respaldos automáticos de la base de datos cada 24 horas.</t>
  </si>
  <si>
    <t>Se genera respaldo completo diariamente a las 2:00 AM, conservado por 30 días, con posibilidad de restaurar datos al estado de máximo 24 horas antes.</t>
  </si>
  <si>
    <t>Área de TI / Comité de Ética</t>
  </si>
  <si>
    <t>Responsabilidad del administrador del servidor.</t>
  </si>
  <si>
    <t>Portabilidad</t>
  </si>
  <si>
    <t>El sistema debe funcionar en los navegadores web más comunes sin requerir plugins o extensiones.</t>
  </si>
  <si>
    <t>Compatible con Chrome, Firefox, Safari y Edge en versiones recientes. No requiere Java, Flash ni plugins adicionales.</t>
  </si>
  <si>
    <t>Uso exclusivo de tecnologías estándar (HTML5, CSS3, JS).</t>
  </si>
  <si>
    <t>El sistema debe permitir al alumno capturar la información del paciente mediante un formulario digital.
Entradas:
- Nombre del paciente
- Edad
- Sexo
- Diagnóstico
- Datos clínicos relevantes
Proceso:
El sistema valida que los campos obligatorios estén completos antes de guardar.
Salidas:
Registro almacenado correctamente en el sistema.</t>
  </si>
  <si>
    <t>Captura de información del paciente</t>
  </si>
  <si>
    <t>El sistema debe calcular automáticamente el resultado clínico utilizando una fórmula predefinida.
Entradas:
Datos capturados del paciente
Proceso:
Aplicación de fórmula definida
Salidas:
Resultado numérico o categórico</t>
  </si>
  <si>
    <t>No permite guardar si hay campos obligatorios vacíos.
Muestra mensaje de confirmación al guardar.
Los datos quedan almacenados y pueden consultarse posteriormente.</t>
  </si>
  <si>
    <t>El cálculo se ejecuta automáticamente al guardar los datos.
El resultado es consistente con la fórmula definida.
El resultado se muestra inmediatamente al usuario.</t>
  </si>
  <si>
    <t>El sistema debe generar un resumen del resultado del paciente en lenguaje claro.
Entradas:
Resultado del cálculo
Proceso:
Conversión del resultado a texto descriptivo
Salidas:
Resumen textual</t>
  </si>
  <si>
    <t>El resumen no contiene términos técnicos sin explicación.
El resumen tiene máximo 150 palabras.
Usuarios no expertos pueden comprender el resultado (validado en pruebas con usuarios)</t>
  </si>
  <si>
    <t>El sistema debe gestionar el acceso mediante roles definidos.
Roles:
Alumno: captura información
Supervisor: valida información
Administrador: gestiona usuarios</t>
  </si>
  <si>
    <t>Cada rol solo accede a sus funciones permitidas.
El sistema bloquea accesos no autorizados.
Se requiere autenticación para ingresar.</t>
  </si>
  <si>
    <r>
      <rPr>
        <sz val="9"/>
        <color theme="1"/>
        <rFont val="Calibri"/>
        <family val="2"/>
        <scheme val="minor"/>
      </rPr>
      <t>El sistema debe permitir consultar registros de pacientes mediante un identificador único (folio) asignado automáticamente a cada registro.</t>
    </r>
    <r>
      <rPr>
        <sz val="11"/>
        <color theme="1"/>
        <rFont val="Calibri"/>
        <family val="2"/>
        <scheme val="minor"/>
      </rPr>
      <t xml:space="preserve">
</t>
    </r>
    <r>
      <rPr>
        <sz val="9"/>
        <color theme="1"/>
        <rFont val="Calibri"/>
        <family val="2"/>
        <scheme val="minor"/>
      </rPr>
      <t>Entradas:
Folio único del paciente
Filtros opcionales (nombre, fecha, etc.)
Proceso:
El sistema busca el registro asociado al folio ingresado o a los filtros aplicados.
Salidas:
Información completa del registro del paciente
Listado de resultados en caso de usar filtros</t>
    </r>
  </si>
  <si>
    <t>El sistema debe ser accesible desde dispositivos móviles y computadoras.</t>
  </si>
  <si>
    <t>Interfaz adaptable a diferentes tamaños de pantalla</t>
  </si>
  <si>
    <t>RNF-07</t>
  </si>
  <si>
    <t>El sistema debe permitir capturar datos sin conexión a internet.</t>
  </si>
  <si>
    <t>Los datos se almacenan localmente.
Se sincronizan automáticamente al recuperar conexión.</t>
  </si>
  <si>
    <t>El sistema utilizará una fórmula predefinida validada por el área médica</t>
  </si>
  <si>
    <t>El resumen tiene máximo 150 palabras y es validado por usuarios no expertoss.</t>
  </si>
  <si>
    <t>Cada registro tiene un folio único generado automáticamente.
No pueden existir dos registros con el mismo folio.
La búsqueda por folio retorna exactamente un registro.
La búsqueda con filtros retorna resultados coincidentes.
El tiempo de respuesta es menor a 2 segundos. El usuario no puede modificar el folio generado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</si>
</sst>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6"/>
      <color rgb="FF1F4E79"/>
      <name val="Calibri"/>
      <family val="2"/>
    </font>
    <font>
      <b/>
      <sz val="11"/>
      <color rgb="FF1F4E79"/>
      <name val="Calibri"/>
      <family val="2"/>
    </font>
    <font>
      <b/>
      <sz val="11"/>
      <color rgb="FFFFFFFF"/>
      <name val="Calibri"/>
      <family val="2"/>
    </font>
    <font>
      <i/>
      <sz val="10"/>
      <name val="Calibri"/>
      <family val="2"/>
    </font>
    <font>
      <sz val="9"/>
      <color theme="1"/>
      <name val="Calibri"/>
      <family val="2"/>
      <scheme val="minor"/>
    </font>
  </fonts>
  <fills count="7">
    <fill>
      <patternFill patternType="none"/>
    </fill>
    <fill>
      <patternFill patternType="gray125"/>
    </fill>
    <fill>
      <patternFill patternType="solid">
        <fgColor rgb="FF1F4E79"/>
        <bgColor rgb="FF1F4E79"/>
      </patternFill>
    </fill>
    <fill>
      <patternFill patternType="solid">
        <fgColor rgb="FFFFE6E6"/>
        <bgColor rgb="FFFFE6E6"/>
      </patternFill>
    </fill>
    <fill>
      <patternFill patternType="solid">
        <fgColor rgb="FFF2F2F2"/>
        <bgColor rgb="FFF2F2F2"/>
      </patternFill>
    </fill>
    <fill>
      <patternFill patternType="solid">
        <fgColor rgb="FFEFD5FB"/>
        <bgColor indexed="64"/>
      </patternFill>
    </fill>
    <fill>
      <patternFill patternType="solid">
        <fgColor rgb="FFF5E4F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3"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0" xfId="0" applyFont="1" applyFill="1"/>
    <xf numFmtId="0" fontId="0" fillId="5" borderId="1" xfId="0" applyFill="1" applyBorder="1" applyAlignment="1">
      <alignment vertical="top" wrapText="1"/>
    </xf>
    <xf numFmtId="0" fontId="0" fillId="6" borderId="1" xfId="0" applyFill="1" applyBorder="1" applyAlignment="1">
      <alignment vertical="top" wrapText="1"/>
    </xf>
    <xf numFmtId="0" fontId="0" fillId="0" borderId="0" xfId="0"/>
    <xf numFmtId="0" fontId="1" fillId="0" borderId="0" xfId="0" applyFont="1"/>
    <xf numFmtId="0" fontId="0" fillId="0" borderId="0" xfId="0"/>
    <xf numFmtId="0" fontId="4" fillId="0" borderId="0" xfId="0" applyFont="1"/>
    <xf numFmtId="0" fontId="5"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colors>
    <mruColors>
      <color rgb="FFF5E4FC"/>
      <color rgb="FFEFD5FB"/>
      <color rgb="FFE5B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abSelected="1" workbookViewId="0">
      <pane ySplit="1" topLeftCell="A5" activePane="bottomLeft" state="frozen"/>
      <selection pane="bottomLeft" activeCell="C5" sqref="C5"/>
    </sheetView>
  </sheetViews>
  <sheetFormatPr baseColWidth="10" defaultColWidth="9.140625" defaultRowHeight="15" x14ac:dyDescent="0.25"/>
  <cols>
    <col min="1" max="1" width="10" customWidth="1"/>
    <col min="2" max="2" width="50" customWidth="1"/>
    <col min="3" max="3" width="40" customWidth="1"/>
    <col min="4" max="4" width="15" customWidth="1"/>
    <col min="5" max="6" width="20" customWidth="1"/>
    <col min="7" max="7" width="10" customWidth="1"/>
    <col min="8" max="8" width="30" customWidth="1"/>
  </cols>
  <sheetData>
    <row r="1" spans="1:8" x14ac:dyDescent="0.25">
      <c r="A1" s="1" t="s">
        <v>0</v>
      </c>
      <c r="B1" s="1" t="s">
        <v>1</v>
      </c>
      <c r="C1" s="1" t="s">
        <v>2</v>
      </c>
      <c r="D1" s="1" t="s">
        <v>3</v>
      </c>
      <c r="E1" s="1" t="s">
        <v>4</v>
      </c>
      <c r="F1" s="1" t="s">
        <v>5</v>
      </c>
      <c r="G1" s="1" t="s">
        <v>6</v>
      </c>
      <c r="H1" s="1" t="s">
        <v>7</v>
      </c>
    </row>
    <row r="2" spans="1:8" ht="192" x14ac:dyDescent="0.25">
      <c r="A2" s="2" t="s">
        <v>8</v>
      </c>
      <c r="B2" s="10" t="s">
        <v>79</v>
      </c>
      <c r="C2" s="2" t="s">
        <v>82</v>
      </c>
      <c r="D2" s="2" t="s">
        <v>9</v>
      </c>
      <c r="E2" s="2" t="s">
        <v>33</v>
      </c>
      <c r="F2" s="2" t="s">
        <v>29</v>
      </c>
      <c r="G2" s="2" t="s">
        <v>12</v>
      </c>
      <c r="H2" s="2" t="s">
        <v>80</v>
      </c>
    </row>
    <row r="3" spans="1:8" ht="132" x14ac:dyDescent="0.25">
      <c r="A3" s="2" t="s">
        <v>34</v>
      </c>
      <c r="B3" s="10" t="s">
        <v>81</v>
      </c>
      <c r="C3" s="2" t="s">
        <v>83</v>
      </c>
      <c r="D3" s="2" t="s">
        <v>9</v>
      </c>
      <c r="E3" s="2" t="s">
        <v>33</v>
      </c>
      <c r="F3" s="2" t="s">
        <v>29</v>
      </c>
      <c r="G3" s="2" t="s">
        <v>12</v>
      </c>
      <c r="H3" s="2" t="s">
        <v>94</v>
      </c>
    </row>
    <row r="4" spans="1:8" ht="132" x14ac:dyDescent="0.25">
      <c r="A4" s="2" t="s">
        <v>35</v>
      </c>
      <c r="B4" s="10" t="s">
        <v>84</v>
      </c>
      <c r="C4" s="2" t="s">
        <v>85</v>
      </c>
      <c r="D4" s="2" t="s">
        <v>9</v>
      </c>
      <c r="E4" s="2" t="s">
        <v>33</v>
      </c>
      <c r="F4" s="2" t="s">
        <v>29</v>
      </c>
      <c r="G4" s="2" t="s">
        <v>12</v>
      </c>
      <c r="H4" s="2" t="s">
        <v>95</v>
      </c>
    </row>
    <row r="5" spans="1:8" ht="210" x14ac:dyDescent="0.25">
      <c r="A5" s="2" t="s">
        <v>36</v>
      </c>
      <c r="B5" s="2" t="s">
        <v>88</v>
      </c>
      <c r="C5" s="2" t="s">
        <v>96</v>
      </c>
      <c r="D5" s="2" t="s">
        <v>9</v>
      </c>
      <c r="E5" s="2" t="s">
        <v>33</v>
      </c>
      <c r="F5" s="2" t="s">
        <v>29</v>
      </c>
      <c r="G5" s="2" t="s">
        <v>12</v>
      </c>
      <c r="H5" s="2" t="s">
        <v>40</v>
      </c>
    </row>
    <row r="6" spans="1:8" ht="96" x14ac:dyDescent="0.25">
      <c r="A6" s="2" t="s">
        <v>37</v>
      </c>
      <c r="B6" s="10" t="s">
        <v>86</v>
      </c>
      <c r="C6" s="2" t="s">
        <v>87</v>
      </c>
      <c r="D6" s="2" t="s">
        <v>9</v>
      </c>
      <c r="E6" s="2" t="s">
        <v>33</v>
      </c>
      <c r="F6" s="2" t="s">
        <v>29</v>
      </c>
      <c r="G6" s="2" t="s">
        <v>12</v>
      </c>
      <c r="H6" s="2" t="s">
        <v>41</v>
      </c>
    </row>
    <row r="7" spans="1:8" ht="60" x14ac:dyDescent="0.25">
      <c r="A7" s="2" t="s">
        <v>38</v>
      </c>
      <c r="B7" s="2" t="s">
        <v>42</v>
      </c>
      <c r="C7" s="2" t="s">
        <v>43</v>
      </c>
      <c r="D7" s="2" t="s">
        <v>9</v>
      </c>
      <c r="E7" s="2" t="s">
        <v>33</v>
      </c>
      <c r="F7" s="2" t="s">
        <v>29</v>
      </c>
      <c r="G7" s="2" t="s">
        <v>12</v>
      </c>
      <c r="H7" s="2" t="s">
        <v>44</v>
      </c>
    </row>
    <row r="8" spans="1:8" ht="60" x14ac:dyDescent="0.25">
      <c r="A8" s="2" t="s">
        <v>39</v>
      </c>
      <c r="B8" s="2" t="s">
        <v>45</v>
      </c>
      <c r="C8" s="2" t="s">
        <v>46</v>
      </c>
      <c r="D8" s="2" t="s">
        <v>9</v>
      </c>
      <c r="E8" s="2" t="s">
        <v>33</v>
      </c>
      <c r="F8" s="2" t="s">
        <v>29</v>
      </c>
      <c r="G8" s="2" t="s">
        <v>12</v>
      </c>
      <c r="H8" s="2" t="s">
        <v>47</v>
      </c>
    </row>
  </sheetData>
  <autoFilter ref="A1:H100"/>
  <dataValidations count="2">
    <dataValidation type="list" sqref="D9:E100">
      <formula1>"Must have,Should have,Could have,Won't have"</formula1>
    </dataValidation>
    <dataValidation type="list" sqref="F9:G100">
      <formula1>"Propuesto,En revisión,Validado internamente,Validado con cliente,Rechazado"</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pane ySplit="1" topLeftCell="A6" activePane="bottomLeft" state="frozen"/>
      <selection pane="bottomLeft" activeCell="C3" sqref="C3"/>
    </sheetView>
  </sheetViews>
  <sheetFormatPr baseColWidth="10" defaultColWidth="9.140625" defaultRowHeight="15" x14ac:dyDescent="0.25"/>
  <cols>
    <col min="1" max="1" width="10" customWidth="1"/>
    <col min="2" max="2" width="15" customWidth="1"/>
    <col min="3" max="3" width="45" customWidth="1"/>
    <col min="4" max="4" width="35" customWidth="1"/>
    <col min="5" max="5" width="15" customWidth="1"/>
    <col min="6" max="7" width="20" customWidth="1"/>
    <col min="8" max="8" width="10" customWidth="1"/>
    <col min="9" max="9" width="30" customWidth="1"/>
  </cols>
  <sheetData>
    <row r="1" spans="1:9" x14ac:dyDescent="0.25">
      <c r="A1" s="1" t="s">
        <v>0</v>
      </c>
      <c r="B1" s="1" t="s">
        <v>13</v>
      </c>
      <c r="C1" s="1" t="s">
        <v>1</v>
      </c>
      <c r="D1" s="1" t="s">
        <v>2</v>
      </c>
      <c r="E1" s="1" t="s">
        <v>3</v>
      </c>
      <c r="F1" s="1" t="s">
        <v>4</v>
      </c>
      <c r="G1" s="1" t="s">
        <v>5</v>
      </c>
      <c r="H1" s="1" t="s">
        <v>6</v>
      </c>
      <c r="I1" s="1" t="s">
        <v>7</v>
      </c>
    </row>
    <row r="2" spans="1:9" ht="30" x14ac:dyDescent="0.25">
      <c r="A2" s="4" t="s">
        <v>14</v>
      </c>
      <c r="B2" s="4" t="s">
        <v>15</v>
      </c>
      <c r="C2" s="4" t="s">
        <v>89</v>
      </c>
      <c r="D2" s="4" t="s">
        <v>90</v>
      </c>
      <c r="E2" s="4" t="s">
        <v>9</v>
      </c>
      <c r="F2" s="4" t="s">
        <v>53</v>
      </c>
      <c r="G2" s="4" t="s">
        <v>29</v>
      </c>
      <c r="H2" s="4" t="s">
        <v>12</v>
      </c>
      <c r="I2" s="4" t="s">
        <v>54</v>
      </c>
    </row>
    <row r="3" spans="1:9" ht="75" x14ac:dyDescent="0.25">
      <c r="A3" s="4" t="s">
        <v>48</v>
      </c>
      <c r="B3" s="4" t="s">
        <v>55</v>
      </c>
      <c r="C3" s="4" t="s">
        <v>56</v>
      </c>
      <c r="D3" s="4" t="s">
        <v>57</v>
      </c>
      <c r="E3" s="4" t="s">
        <v>9</v>
      </c>
      <c r="F3" s="4" t="s">
        <v>58</v>
      </c>
      <c r="G3" s="4" t="s">
        <v>29</v>
      </c>
      <c r="H3" s="4" t="s">
        <v>12</v>
      </c>
      <c r="I3" s="4" t="s">
        <v>59</v>
      </c>
    </row>
    <row r="4" spans="1:9" s="6" customFormat="1" ht="45" x14ac:dyDescent="0.25">
      <c r="A4" s="4" t="s">
        <v>49</v>
      </c>
      <c r="B4" s="4" t="s">
        <v>66</v>
      </c>
      <c r="C4" s="4" t="s">
        <v>92</v>
      </c>
      <c r="D4" s="4" t="s">
        <v>93</v>
      </c>
      <c r="E4" s="4" t="s">
        <v>9</v>
      </c>
      <c r="F4" s="4" t="s">
        <v>53</v>
      </c>
      <c r="G4" s="4" t="s">
        <v>29</v>
      </c>
      <c r="H4" s="4" t="s">
        <v>12</v>
      </c>
      <c r="I4" s="4"/>
    </row>
    <row r="5" spans="1:9" ht="60" x14ac:dyDescent="0.25">
      <c r="A5" s="5" t="s">
        <v>50</v>
      </c>
      <c r="B5" s="5" t="s">
        <v>60</v>
      </c>
      <c r="C5" s="5" t="s">
        <v>61</v>
      </c>
      <c r="D5" s="5" t="s">
        <v>62</v>
      </c>
      <c r="E5" s="5" t="s">
        <v>63</v>
      </c>
      <c r="F5" s="5" t="s">
        <v>64</v>
      </c>
      <c r="G5" s="5" t="s">
        <v>29</v>
      </c>
      <c r="H5" s="5" t="s">
        <v>12</v>
      </c>
      <c r="I5" s="5" t="s">
        <v>65</v>
      </c>
    </row>
    <row r="6" spans="1:9" ht="60" x14ac:dyDescent="0.25">
      <c r="A6" s="5" t="s">
        <v>51</v>
      </c>
      <c r="B6" s="5" t="s">
        <v>66</v>
      </c>
      <c r="C6" s="5" t="s">
        <v>67</v>
      </c>
      <c r="D6" s="5" t="s">
        <v>68</v>
      </c>
      <c r="E6" s="5" t="s">
        <v>63</v>
      </c>
      <c r="F6" s="5" t="s">
        <v>53</v>
      </c>
      <c r="G6" s="5" t="s">
        <v>29</v>
      </c>
      <c r="H6" s="5" t="s">
        <v>12</v>
      </c>
      <c r="I6" s="5" t="s">
        <v>69</v>
      </c>
    </row>
    <row r="7" spans="1:9" ht="75" x14ac:dyDescent="0.25">
      <c r="A7" s="5" t="s">
        <v>52</v>
      </c>
      <c r="B7" s="5" t="s">
        <v>70</v>
      </c>
      <c r="C7" s="5" t="s">
        <v>71</v>
      </c>
      <c r="D7" s="5" t="s">
        <v>72</v>
      </c>
      <c r="E7" s="5" t="s">
        <v>63</v>
      </c>
      <c r="F7" s="5" t="s">
        <v>73</v>
      </c>
      <c r="G7" s="5" t="s">
        <v>29</v>
      </c>
      <c r="H7" s="5" t="s">
        <v>12</v>
      </c>
      <c r="I7" s="5" t="s">
        <v>74</v>
      </c>
    </row>
    <row r="8" spans="1:9" ht="60" x14ac:dyDescent="0.25">
      <c r="A8" s="4" t="s">
        <v>91</v>
      </c>
      <c r="B8" s="4" t="s">
        <v>75</v>
      </c>
      <c r="C8" s="4" t="s">
        <v>76</v>
      </c>
      <c r="D8" s="4" t="s">
        <v>77</v>
      </c>
      <c r="E8" s="4" t="s">
        <v>9</v>
      </c>
      <c r="F8" s="4" t="s">
        <v>10</v>
      </c>
      <c r="G8" s="4" t="s">
        <v>29</v>
      </c>
      <c r="H8" s="4" t="s">
        <v>12</v>
      </c>
      <c r="I8" s="4" t="s">
        <v>78</v>
      </c>
    </row>
  </sheetData>
  <autoFilter ref="A1:I101"/>
  <dataValidations count="3">
    <dataValidation type="list" sqref="B9:B101">
      <formula1>"Usabilidad,Rendimiento,Seguridad,Confiabilidad,Portabilidad,Mantenibilidad,Disponibilidad"</formula1>
    </dataValidation>
    <dataValidation type="list" sqref="D9:E101">
      <formula1>"Must have,Should have,Could have,Won't have"</formula1>
    </dataValidation>
    <dataValidation type="list" sqref="F9:G101">
      <formula1>"Propuesto,En revisión,Validado internamente,Validado con cliente,Rechazado"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topLeftCell="A2" workbookViewId="0">
      <selection activeCell="B12" sqref="B12"/>
    </sheetView>
  </sheetViews>
  <sheetFormatPr baseColWidth="10" defaultColWidth="9.140625" defaultRowHeight="15" x14ac:dyDescent="0.25"/>
  <cols>
    <col min="1" max="1" width="40" customWidth="1"/>
    <col min="2" max="2" width="20" customWidth="1"/>
  </cols>
  <sheetData>
    <row r="1" spans="1:4" ht="21" x14ac:dyDescent="0.35">
      <c r="A1" s="7" t="s">
        <v>16</v>
      </c>
      <c r="B1" s="8"/>
      <c r="C1" s="8"/>
      <c r="D1" s="8"/>
    </row>
    <row r="3" spans="1:4" x14ac:dyDescent="0.25">
      <c r="A3" s="9" t="s">
        <v>17</v>
      </c>
      <c r="B3" s="8"/>
      <c r="C3" s="8"/>
      <c r="D3" s="8"/>
    </row>
    <row r="5" spans="1:4" x14ac:dyDescent="0.25">
      <c r="A5" s="3" t="s">
        <v>18</v>
      </c>
      <c r="B5" s="3" t="s">
        <v>19</v>
      </c>
    </row>
    <row r="6" spans="1:4" x14ac:dyDescent="0.25">
      <c r="A6" t="s">
        <v>20</v>
      </c>
      <c r="B6">
        <f>COUNTA('RF - Funcionales'!A2:A100)</f>
        <v>7</v>
      </c>
    </row>
    <row r="7" spans="1:4" x14ac:dyDescent="0.25">
      <c r="A7" t="s">
        <v>21</v>
      </c>
      <c r="B7">
        <f>COUNTA('RNF - No Funcionales'!A2:A101)</f>
        <v>7</v>
      </c>
    </row>
    <row r="8" spans="1:4" x14ac:dyDescent="0.25">
      <c r="A8" t="s">
        <v>22</v>
      </c>
      <c r="B8">
        <f>B6+B7</f>
        <v>14</v>
      </c>
    </row>
    <row r="10" spans="1:4" x14ac:dyDescent="0.25">
      <c r="A10" s="3" t="s">
        <v>23</v>
      </c>
    </row>
    <row r="11" spans="1:4" x14ac:dyDescent="0.25">
      <c r="A11" t="s">
        <v>24</v>
      </c>
      <c r="B11">
        <f>COUNTIF('RF - Funcionales'!D:D,"Must have")+COUNTIF('RNF - No Funcionales'!E:E,"Must have")</f>
        <v>11</v>
      </c>
    </row>
    <row r="12" spans="1:4" x14ac:dyDescent="0.25">
      <c r="A12" t="s">
        <v>25</v>
      </c>
      <c r="B12">
        <f>COUNTIF('RF - Funcionales'!D:D,"Should have")+COUNTIF('RNF - No Funcionales'!E:E,"Should have")</f>
        <v>3</v>
      </c>
    </row>
    <row r="13" spans="1:4" x14ac:dyDescent="0.25">
      <c r="A13" t="s">
        <v>26</v>
      </c>
      <c r="B13">
        <f>COUNTIF('RF - Funcionales'!D:D,"Could have")+COUNTIF('RNF - No Funcionales'!E:E,"Could have")</f>
        <v>0</v>
      </c>
    </row>
    <row r="14" spans="1:4" x14ac:dyDescent="0.25">
      <c r="A14" t="s">
        <v>27</v>
      </c>
      <c r="B14">
        <f>COUNTIF('RF - Funcionales'!D:D,"Won't have")+COUNTIF('RNF - No Funcionales'!E:E,"Won't have")</f>
        <v>0</v>
      </c>
    </row>
    <row r="16" spans="1:4" x14ac:dyDescent="0.25">
      <c r="A16" s="3" t="s">
        <v>28</v>
      </c>
    </row>
    <row r="17" spans="1:2" x14ac:dyDescent="0.25">
      <c r="A17" t="s">
        <v>29</v>
      </c>
      <c r="B17">
        <f>COUNTIF('RF - Funcionales'!F:F,"Propuesto")+COUNTIF('RNF - No Funcionales'!G:G,"Propuesto")</f>
        <v>14</v>
      </c>
    </row>
    <row r="18" spans="1:2" x14ac:dyDescent="0.25">
      <c r="A18" t="s">
        <v>30</v>
      </c>
      <c r="B18">
        <f>COUNTIF('RF - Funcionales'!F:F,"En revisión")+COUNTIF('RNF - No Funcionales'!G:G,"En revisión")</f>
        <v>0</v>
      </c>
    </row>
    <row r="19" spans="1:2" x14ac:dyDescent="0.25">
      <c r="A19" t="s">
        <v>11</v>
      </c>
      <c r="B19">
        <f>COUNTIF('RF - Funcionales'!F:F,"Validado internamente")+COUNTIF('RNF - No Funcionales'!G:G,"Validado internamente")</f>
        <v>0</v>
      </c>
    </row>
    <row r="20" spans="1:2" x14ac:dyDescent="0.25">
      <c r="A20" t="s">
        <v>31</v>
      </c>
      <c r="B20">
        <f>COUNTIF('RF - Funcionales'!F:F,"Validado con cliente")+COUNTIF('RNF - No Funcionales'!G:G,"Validado con cliente")</f>
        <v>0</v>
      </c>
    </row>
    <row r="21" spans="1:2" x14ac:dyDescent="0.25">
      <c r="A21" t="s">
        <v>32</v>
      </c>
      <c r="B21">
        <f>COUNTIF('RF - Funcionales'!F:F,"Rechazado")+COUNTIF('RNF - No Funcionales'!G:G,"Rechazado")</f>
        <v>0</v>
      </c>
    </row>
  </sheetData>
  <mergeCells count="2">
    <mergeCell ref="A1:D1"/>
    <mergeCell ref="A3:D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RF - Funcionales</vt:lpstr>
      <vt:lpstr>RNF - No Funcionales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2026-03-22T19:30:30Z</dcterms:created>
  <dcterms:modified xsi:type="dcterms:W3CDTF">2026-05-14T17:23:53Z</dcterms:modified>
</cp:coreProperties>
</file>